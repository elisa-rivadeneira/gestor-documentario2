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CTS\gestor-documentario\"/>
    </mc:Choice>
  </mc:AlternateContent>
  <xr:revisionPtr revIDLastSave="0" documentId="8_{DC683DC6-33DF-4CFB-A5BC-808482E05874}" xr6:coauthVersionLast="47" xr6:coauthVersionMax="47" xr10:uidLastSave="{00000000-0000-0000-0000-000000000000}"/>
  <bookViews>
    <workbookView xWindow="-120" yWindow="-120" windowWidth="29040" windowHeight="15720" xr2:uid="{72729740-8EEA-4160-B5C7-C16168068CEE}"/>
  </bookViews>
  <sheets>
    <sheet name="Modificaciones + Ampliacione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C24" i="1"/>
  <c r="E23" i="1"/>
  <c r="D23" i="1"/>
  <c r="E22" i="1"/>
  <c r="E21" i="1"/>
  <c r="E18" i="1"/>
  <c r="D18" i="1"/>
  <c r="D11" i="1"/>
  <c r="D24" i="1" s="1"/>
  <c r="E9" i="1"/>
  <c r="E8" i="1"/>
  <c r="E7" i="1"/>
  <c r="E6" i="1"/>
</calcChain>
</file>

<file path=xl/sharedStrings.xml><?xml version="1.0" encoding="utf-8"?>
<sst xmlns="http://schemas.openxmlformats.org/spreadsheetml/2006/main" count="352" uniqueCount="47">
  <si>
    <t>SEGUIMIENTO AL PROCESO DE LIQUIDACIÓN - MANTENIMIENTO Y ACONDICIONAMIENTO DE COMISARIAS</t>
  </si>
  <si>
    <t>N°</t>
  </si>
  <si>
    <t>Comisaría PNP</t>
  </si>
  <si>
    <t>Avance de Ejecución</t>
  </si>
  <si>
    <t>Fecha Final de Ejecución Contractual</t>
  </si>
  <si>
    <t xml:space="preserve">1. Acta de Conformidad de Ejecución
y Recepción Física </t>
  </si>
  <si>
    <t>2. Informe de Modificación de Partidas
(Según Procedimiento - UGPE)</t>
  </si>
  <si>
    <t>3. Informe de Ampliación de Plazo</t>
  </si>
  <si>
    <t>4. Informe de Culminación y 
Entrega de Obra (DOSSIER)</t>
  </si>
  <si>
    <t>5. Informe de Liquidación
(Final)</t>
  </si>
  <si>
    <t>OBSERVACIONES</t>
  </si>
  <si>
    <t xml:space="preserve">Programado </t>
  </si>
  <si>
    <t>Físico</t>
  </si>
  <si>
    <t>Fecha Firma de Acta Firmada</t>
  </si>
  <si>
    <t>Revisada y aprobada
(SI / NO)</t>
  </si>
  <si>
    <t>Remitida a UGPE
(SI / NO)</t>
  </si>
  <si>
    <t>Presentado al NE
(SI / NO)</t>
  </si>
  <si>
    <t>Revisado y aprobado
(SI / NO)</t>
  </si>
  <si>
    <t>Remitido a UGPE
(SI / NO)</t>
  </si>
  <si>
    <t>Adenda  firmada
(SI / NO)</t>
  </si>
  <si>
    <t>Remitido para Pago
(SI / NO)</t>
  </si>
  <si>
    <t>Monto Pagado
(S/)</t>
  </si>
  <si>
    <t>SAN CAYETANO</t>
  </si>
  <si>
    <t>SI</t>
  </si>
  <si>
    <t>NO</t>
  </si>
  <si>
    <t>SAN COSME</t>
  </si>
  <si>
    <t>COLLIQUE</t>
  </si>
  <si>
    <t>TAHUANTINSUYO</t>
  </si>
  <si>
    <t>CHANCAY</t>
  </si>
  <si>
    <t>JICAMARCA</t>
  </si>
  <si>
    <t>PRO</t>
  </si>
  <si>
    <t>SAN MARTÍN DE PORRES</t>
  </si>
  <si>
    <t>CARABAYLLO</t>
  </si>
  <si>
    <t>-</t>
  </si>
  <si>
    <t>LA ENSENADA</t>
  </si>
  <si>
    <t>MARISCAL CÁCERES</t>
  </si>
  <si>
    <t>SAN ANTONIO DE JICAMARCA</t>
  </si>
  <si>
    <t>SANTA CLARA</t>
  </si>
  <si>
    <t>SANTA ANITA</t>
  </si>
  <si>
    <t>NO QUIERE FIRMAR COMISARIO</t>
  </si>
  <si>
    <t>ALFONSO UGARTE</t>
  </si>
  <si>
    <t>SAN GENARO</t>
  </si>
  <si>
    <t>JOSÉ GALVEZ</t>
  </si>
  <si>
    <t>VILLA EL SALVADOR</t>
  </si>
  <si>
    <t>PAMPLONA ALTA II</t>
  </si>
  <si>
    <t>CIUDAD Y CAMPO</t>
  </si>
  <si>
    <r>
      <rPr>
        <b/>
        <u/>
        <sz val="11"/>
        <color theme="1"/>
        <rFont val="Calibri"/>
        <family val="2"/>
        <scheme val="minor"/>
      </rPr>
      <t>Actualizado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</si>
</sst>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9"/>
      <color theme="1"/>
      <name val="Play"/>
    </font>
    <font>
      <sz val="8"/>
      <color theme="1"/>
      <name val="Play"/>
    </font>
    <font>
      <sz val="10"/>
      <color theme="1"/>
      <name val="Play"/>
    </font>
    <font>
      <sz val="9"/>
      <color theme="1"/>
      <name val="Play"/>
    </font>
    <font>
      <b/>
      <sz val="9"/>
      <color theme="9"/>
      <name val="Play"/>
    </font>
    <font>
      <sz val="9"/>
      <name val="Play"/>
    </font>
    <font>
      <sz val="9"/>
      <color rgb="FFFF0000"/>
      <name val="Play"/>
    </font>
    <font>
      <sz val="8"/>
      <name val="Play"/>
    </font>
    <font>
      <b/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10" fontId="6" fillId="2" borderId="2" xfId="0" applyNumberFormat="1" applyFont="1" applyFill="1" applyBorder="1" applyAlignment="1">
      <alignment horizontal="center" vertical="center" wrapText="1"/>
    </xf>
    <xf numFmtId="10" fontId="7" fillId="2" borderId="3" xfId="1" applyNumberFormat="1" applyFont="1" applyFill="1" applyBorder="1" applyAlignment="1">
      <alignment horizontal="center" vertical="center" wrapText="1"/>
    </xf>
    <xf numFmtId="14" fontId="8" fillId="2" borderId="4" xfId="1" applyNumberFormat="1" applyFont="1" applyFill="1" applyBorder="1" applyAlignment="1">
      <alignment horizontal="center" vertical="center" wrapText="1"/>
    </xf>
    <xf numFmtId="14" fontId="4" fillId="2" borderId="17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164" fontId="4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/>
    <xf numFmtId="0" fontId="5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10" fontId="6" fillId="2" borderId="22" xfId="0" applyNumberFormat="1" applyFont="1" applyFill="1" applyBorder="1" applyAlignment="1">
      <alignment horizontal="center" vertical="center" wrapText="1"/>
    </xf>
    <xf numFmtId="10" fontId="7" fillId="2" borderId="23" xfId="1" applyNumberFormat="1" applyFont="1" applyFill="1" applyBorder="1" applyAlignment="1">
      <alignment horizontal="center" vertical="center" wrapText="1"/>
    </xf>
    <xf numFmtId="14" fontId="8" fillId="2" borderId="20" xfId="1" applyNumberFormat="1" applyFont="1" applyFill="1" applyBorder="1" applyAlignment="1">
      <alignment horizontal="center" vertical="center" wrapText="1"/>
    </xf>
    <xf numFmtId="14" fontId="4" fillId="2" borderId="24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164" fontId="4" fillId="2" borderId="27" xfId="0" applyNumberFormat="1" applyFont="1" applyFill="1" applyBorder="1" applyAlignment="1">
      <alignment horizontal="center" vertical="center" wrapText="1"/>
    </xf>
    <xf numFmtId="0" fontId="0" fillId="0" borderId="28" xfId="0" applyBorder="1"/>
    <xf numFmtId="10" fontId="6" fillId="2" borderId="22" xfId="1" applyNumberFormat="1" applyFont="1" applyFill="1" applyBorder="1" applyAlignment="1">
      <alignment horizontal="center" vertical="center" wrapText="1"/>
    </xf>
    <xf numFmtId="14" fontId="8" fillId="2" borderId="28" xfId="1" applyNumberFormat="1" applyFont="1" applyFill="1" applyBorder="1" applyAlignment="1">
      <alignment horizontal="center" vertical="center" wrapText="1"/>
    </xf>
    <xf numFmtId="164" fontId="4" fillId="2" borderId="25" xfId="0" applyNumberFormat="1" applyFont="1" applyFill="1" applyBorder="1" applyAlignment="1">
      <alignment horizontal="center" vertical="center" wrapText="1"/>
    </xf>
    <xf numFmtId="10" fontId="6" fillId="2" borderId="23" xfId="1" applyNumberFormat="1" applyFont="1" applyFill="1" applyBorder="1" applyAlignment="1">
      <alignment horizontal="center" vertical="center" wrapText="1"/>
    </xf>
    <xf numFmtId="14" fontId="9" fillId="2" borderId="28" xfId="1" applyNumberFormat="1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14" fontId="9" fillId="2" borderId="29" xfId="1" applyNumberFormat="1" applyFont="1" applyFill="1" applyBorder="1" applyAlignment="1">
      <alignment horizontal="center" vertical="center" wrapText="1"/>
    </xf>
    <xf numFmtId="14" fontId="9" fillId="2" borderId="20" xfId="1" applyNumberFormat="1" applyFont="1" applyFill="1" applyBorder="1" applyAlignment="1">
      <alignment horizontal="center" vertical="center" wrapText="1"/>
    </xf>
    <xf numFmtId="14" fontId="8" fillId="2" borderId="29" xfId="1" applyNumberFormat="1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left" vertical="center" wrapText="1"/>
    </xf>
    <xf numFmtId="10" fontId="8" fillId="2" borderId="22" xfId="1" applyNumberFormat="1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left" vertical="center" wrapText="1"/>
    </xf>
    <xf numFmtId="10" fontId="6" fillId="2" borderId="31" xfId="1" applyNumberFormat="1" applyFont="1" applyFill="1" applyBorder="1" applyAlignment="1">
      <alignment horizontal="center" vertical="center" wrapText="1"/>
    </xf>
    <xf numFmtId="10" fontId="6" fillId="2" borderId="32" xfId="1" applyNumberFormat="1" applyFont="1" applyFill="1" applyBorder="1" applyAlignment="1">
      <alignment horizontal="center" vertical="center" wrapText="1"/>
    </xf>
    <xf numFmtId="14" fontId="9" fillId="2" borderId="16" xfId="1" applyNumberFormat="1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164" fontId="4" fillId="2" borderId="34" xfId="0" applyNumberFormat="1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0" fillId="0" borderId="16" xfId="0" applyBorder="1"/>
    <xf numFmtId="10" fontId="11" fillId="2" borderId="0" xfId="0" applyNumberFormat="1" applyFont="1" applyFill="1" applyAlignment="1">
      <alignment horizontal="center"/>
    </xf>
    <xf numFmtId="0" fontId="0" fillId="2" borderId="35" xfId="0" applyFill="1" applyBorder="1" applyAlignment="1">
      <alignment horizontal="center"/>
    </xf>
    <xf numFmtId="14" fontId="13" fillId="2" borderId="0" xfId="0" applyNumberFormat="1" applyFont="1" applyFill="1" applyAlignment="1">
      <alignment horizontal="center"/>
    </xf>
    <xf numFmtId="14" fontId="1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2">
    <cellStyle name="Normal" xfId="0" builtinId="0"/>
    <cellStyle name="Porcentaje" xfId="1" builtinId="5"/>
  </cellStyles>
  <dxfs count="2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ulminaci&#243;n%20de%20plazo%20contractual%20-%20MANTENIMIENTO%20COMISARIA%20(16.04.2026).xlsx" TargetMode="External"/><Relationship Id="rId2" Type="http://schemas.openxmlformats.org/officeDocument/2006/relationships/externalLinkPath" Target="file:///C:\Users\user\Documents\Culminaci&#243;n%20de%20plazo%20contractual%20-%20MANTENIMIENTO%20COMISARIA%20(16.04.2026).xlsx" TargetMode="External"/><Relationship Id="rId1" Type="http://schemas.openxmlformats.org/officeDocument/2006/relationships/externalLinkPath" Target="/Users/user/Documents/Culminaci&#243;n%20de%20plazo%20contractual%20-%20MANTENIMIENTO%20COMISARIA%20(16.04.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TUS 06.04.2026"/>
      <sheetName val="Modificaciones + Ampliaciones"/>
    </sheetNames>
    <sheetDataSet>
      <sheetData sheetId="0">
        <row r="5">
          <cell r="N5">
            <v>46095</v>
          </cell>
        </row>
        <row r="6">
          <cell r="N6">
            <v>46109</v>
          </cell>
        </row>
        <row r="7">
          <cell r="N7">
            <v>46109</v>
          </cell>
        </row>
        <row r="8">
          <cell r="N8">
            <v>46119</v>
          </cell>
        </row>
        <row r="10">
          <cell r="P10">
            <v>0.99</v>
          </cell>
        </row>
        <row r="17">
          <cell r="N17">
            <v>46124</v>
          </cell>
          <cell r="P17">
            <v>0.99</v>
          </cell>
        </row>
        <row r="20">
          <cell r="N20">
            <v>46127</v>
          </cell>
        </row>
        <row r="21">
          <cell r="N21">
            <v>46112</v>
          </cell>
        </row>
        <row r="22">
          <cell r="N22">
            <v>46117</v>
          </cell>
          <cell r="P22">
            <v>0.98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B740-BECB-4F5E-B78A-15427C53C306}">
  <sheetPr>
    <tabColor rgb="FFFFFF00"/>
  </sheetPr>
  <dimension ref="A1:X24"/>
  <sheetViews>
    <sheetView tabSelected="1" zoomScaleNormal="100" workbookViewId="0">
      <selection activeCell="E27" sqref="E27"/>
    </sheetView>
  </sheetViews>
  <sheetFormatPr baseColWidth="10" defaultRowHeight="15"/>
  <cols>
    <col min="1" max="1" width="3" customWidth="1"/>
    <col min="2" max="2" width="28.28515625" customWidth="1"/>
    <col min="3" max="4" width="10.7109375" style="2" customWidth="1"/>
    <col min="5" max="5" width="12.42578125" style="2" bestFit="1" customWidth="1"/>
    <col min="6" max="7" width="9.7109375" style="2" customWidth="1"/>
    <col min="8" max="8" width="10.7109375" style="2" bestFit="1" customWidth="1"/>
    <col min="9" max="19" width="9.7109375" style="2" customWidth="1"/>
    <col min="20" max="20" width="11.42578125" style="2" customWidth="1"/>
    <col min="21" max="23" width="9.7109375" style="2" customWidth="1"/>
    <col min="24" max="24" width="25" customWidth="1"/>
  </cols>
  <sheetData>
    <row r="1" spans="1:24" ht="30" customHeight="1" thickBo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4" ht="41.25" customHeight="1">
      <c r="A2" s="3" t="s">
        <v>1</v>
      </c>
      <c r="B2" s="4" t="s">
        <v>2</v>
      </c>
      <c r="C2" s="4" t="s">
        <v>3</v>
      </c>
      <c r="D2" s="5"/>
      <c r="E2" s="6" t="s">
        <v>4</v>
      </c>
      <c r="F2" s="7" t="s">
        <v>5</v>
      </c>
      <c r="G2" s="7"/>
      <c r="H2" s="7"/>
      <c r="I2" s="8" t="s">
        <v>6</v>
      </c>
      <c r="J2" s="7"/>
      <c r="K2" s="9"/>
      <c r="L2" s="8" t="s">
        <v>7</v>
      </c>
      <c r="M2" s="7"/>
      <c r="N2" s="7"/>
      <c r="O2" s="7"/>
      <c r="P2" s="3" t="s">
        <v>8</v>
      </c>
      <c r="Q2" s="4"/>
      <c r="R2" s="4"/>
      <c r="S2" s="5"/>
      <c r="T2" s="10"/>
      <c r="U2" s="8" t="s">
        <v>9</v>
      </c>
      <c r="V2" s="7"/>
      <c r="W2" s="7"/>
      <c r="X2" s="11" t="s">
        <v>10</v>
      </c>
    </row>
    <row r="3" spans="1:24" ht="43.5" customHeight="1" thickBot="1">
      <c r="A3" s="12"/>
      <c r="B3" s="13"/>
      <c r="C3" s="14" t="s">
        <v>11</v>
      </c>
      <c r="D3" s="15" t="s">
        <v>12</v>
      </c>
      <c r="E3" s="16"/>
      <c r="F3" s="17" t="s">
        <v>13</v>
      </c>
      <c r="G3" s="14" t="s">
        <v>14</v>
      </c>
      <c r="H3" s="15" t="s">
        <v>15</v>
      </c>
      <c r="I3" s="18" t="s">
        <v>16</v>
      </c>
      <c r="J3" s="14" t="s">
        <v>17</v>
      </c>
      <c r="K3" s="19" t="s">
        <v>18</v>
      </c>
      <c r="L3" s="18" t="s">
        <v>16</v>
      </c>
      <c r="M3" s="14" t="s">
        <v>17</v>
      </c>
      <c r="N3" s="15" t="s">
        <v>19</v>
      </c>
      <c r="O3" s="15" t="s">
        <v>18</v>
      </c>
      <c r="P3" s="18" t="s">
        <v>16</v>
      </c>
      <c r="Q3" s="14" t="s">
        <v>17</v>
      </c>
      <c r="R3" s="14" t="s">
        <v>18</v>
      </c>
      <c r="S3" s="15" t="s">
        <v>20</v>
      </c>
      <c r="T3" s="19" t="s">
        <v>21</v>
      </c>
      <c r="U3" s="18" t="s">
        <v>16</v>
      </c>
      <c r="V3" s="14" t="s">
        <v>17</v>
      </c>
      <c r="W3" s="15" t="s">
        <v>20</v>
      </c>
      <c r="X3" s="20"/>
    </row>
    <row r="4" spans="1:24" ht="21.95" customHeight="1" thickBot="1">
      <c r="A4" s="21">
        <v>1</v>
      </c>
      <c r="B4" s="22" t="s">
        <v>22</v>
      </c>
      <c r="C4" s="23">
        <v>1</v>
      </c>
      <c r="D4" s="24">
        <v>1</v>
      </c>
      <c r="E4" s="25">
        <v>46070</v>
      </c>
      <c r="F4" s="26">
        <v>46063</v>
      </c>
      <c r="G4" s="27" t="s">
        <v>23</v>
      </c>
      <c r="H4" s="28" t="s">
        <v>23</v>
      </c>
      <c r="I4" s="29" t="s">
        <v>24</v>
      </c>
      <c r="J4" s="27" t="s">
        <v>24</v>
      </c>
      <c r="K4" s="30" t="s">
        <v>24</v>
      </c>
      <c r="L4" s="29" t="s">
        <v>23</v>
      </c>
      <c r="M4" s="27" t="s">
        <v>23</v>
      </c>
      <c r="N4" s="28" t="s">
        <v>23</v>
      </c>
      <c r="O4" s="28" t="s">
        <v>24</v>
      </c>
      <c r="P4" s="29" t="s">
        <v>23</v>
      </c>
      <c r="Q4" s="27" t="s">
        <v>23</v>
      </c>
      <c r="R4" s="31" t="s">
        <v>23</v>
      </c>
      <c r="S4" s="28" t="s">
        <v>23</v>
      </c>
      <c r="T4" s="32">
        <v>699999.69</v>
      </c>
      <c r="U4" s="29" t="s">
        <v>24</v>
      </c>
      <c r="V4" s="27" t="s">
        <v>24</v>
      </c>
      <c r="W4" s="28"/>
      <c r="X4" s="33"/>
    </row>
    <row r="5" spans="1:24" ht="21.95" customHeight="1">
      <c r="A5" s="34">
        <v>2</v>
      </c>
      <c r="B5" s="35" t="s">
        <v>25</v>
      </c>
      <c r="C5" s="36">
        <v>1</v>
      </c>
      <c r="D5" s="37">
        <v>1</v>
      </c>
      <c r="E5" s="38"/>
      <c r="F5" s="39">
        <v>46071</v>
      </c>
      <c r="G5" s="40" t="s">
        <v>23</v>
      </c>
      <c r="H5" s="41" t="s">
        <v>23</v>
      </c>
      <c r="I5" s="42" t="s">
        <v>24</v>
      </c>
      <c r="J5" s="40" t="s">
        <v>24</v>
      </c>
      <c r="K5" s="43" t="s">
        <v>24</v>
      </c>
      <c r="L5" s="42" t="s">
        <v>23</v>
      </c>
      <c r="M5" s="40" t="s">
        <v>23</v>
      </c>
      <c r="N5" s="41" t="s">
        <v>23</v>
      </c>
      <c r="O5" s="41" t="s">
        <v>24</v>
      </c>
      <c r="P5" s="42" t="s">
        <v>23</v>
      </c>
      <c r="Q5" s="40" t="s">
        <v>23</v>
      </c>
      <c r="R5" s="44"/>
      <c r="S5" s="28" t="s">
        <v>23</v>
      </c>
      <c r="T5" s="45"/>
      <c r="U5" s="42" t="s">
        <v>24</v>
      </c>
      <c r="V5" s="40" t="s">
        <v>24</v>
      </c>
      <c r="W5" s="41"/>
      <c r="X5" s="46"/>
    </row>
    <row r="6" spans="1:24" ht="21.95" customHeight="1">
      <c r="A6" s="34">
        <v>3</v>
      </c>
      <c r="B6" s="35" t="s">
        <v>26</v>
      </c>
      <c r="C6" s="47">
        <v>1</v>
      </c>
      <c r="D6" s="37">
        <v>1</v>
      </c>
      <c r="E6" s="48">
        <f>+'[1]STATUS 06.04.2026'!N5</f>
        <v>46095</v>
      </c>
      <c r="F6" s="39">
        <v>46095</v>
      </c>
      <c r="G6" s="40" t="s">
        <v>23</v>
      </c>
      <c r="H6" s="41" t="s">
        <v>23</v>
      </c>
      <c r="I6" s="42" t="s">
        <v>23</v>
      </c>
      <c r="J6" s="40" t="s">
        <v>23</v>
      </c>
      <c r="K6" s="43" t="s">
        <v>23</v>
      </c>
      <c r="L6" s="42" t="s">
        <v>23</v>
      </c>
      <c r="M6" s="40" t="s">
        <v>23</v>
      </c>
      <c r="N6" s="40" t="s">
        <v>23</v>
      </c>
      <c r="O6" s="40" t="s">
        <v>24</v>
      </c>
      <c r="P6" s="40" t="s">
        <v>23</v>
      </c>
      <c r="Q6" s="40" t="s">
        <v>24</v>
      </c>
      <c r="R6" s="40" t="s">
        <v>24</v>
      </c>
      <c r="S6" s="41" t="s">
        <v>24</v>
      </c>
      <c r="T6" s="49"/>
      <c r="U6" s="42" t="s">
        <v>23</v>
      </c>
      <c r="V6" s="40" t="s">
        <v>23</v>
      </c>
      <c r="W6" s="41"/>
      <c r="X6" s="46"/>
    </row>
    <row r="7" spans="1:24" ht="21.95" customHeight="1">
      <c r="A7" s="34">
        <v>4</v>
      </c>
      <c r="B7" s="35" t="s">
        <v>27</v>
      </c>
      <c r="C7" s="47">
        <v>1</v>
      </c>
      <c r="D7" s="37">
        <v>1</v>
      </c>
      <c r="E7" s="48">
        <f>+'[1]STATUS 06.04.2026'!N6</f>
        <v>46109</v>
      </c>
      <c r="F7" s="39">
        <v>46109</v>
      </c>
      <c r="G7" s="40" t="s">
        <v>23</v>
      </c>
      <c r="H7" s="41" t="s">
        <v>23</v>
      </c>
      <c r="I7" s="42" t="s">
        <v>24</v>
      </c>
      <c r="J7" s="42" t="s">
        <v>24</v>
      </c>
      <c r="K7" s="42" t="s">
        <v>24</v>
      </c>
      <c r="L7" s="42" t="s">
        <v>23</v>
      </c>
      <c r="M7" s="42" t="s">
        <v>23</v>
      </c>
      <c r="N7" s="42" t="s">
        <v>23</v>
      </c>
      <c r="O7" s="42" t="s">
        <v>24</v>
      </c>
      <c r="P7" s="42" t="s">
        <v>24</v>
      </c>
      <c r="Q7" s="42" t="s">
        <v>24</v>
      </c>
      <c r="R7" s="42" t="s">
        <v>24</v>
      </c>
      <c r="S7" s="42" t="s">
        <v>24</v>
      </c>
      <c r="T7" s="49"/>
      <c r="U7" s="42" t="s">
        <v>24</v>
      </c>
      <c r="V7" s="40" t="s">
        <v>24</v>
      </c>
      <c r="W7" s="41"/>
      <c r="X7" s="46"/>
    </row>
    <row r="8" spans="1:24" ht="21.95" customHeight="1">
      <c r="A8" s="34">
        <v>5</v>
      </c>
      <c r="B8" s="35" t="s">
        <v>28</v>
      </c>
      <c r="C8" s="47">
        <v>1</v>
      </c>
      <c r="D8" s="37">
        <v>1</v>
      </c>
      <c r="E8" s="48">
        <f>+'[1]STATUS 06.04.2026'!N7</f>
        <v>46109</v>
      </c>
      <c r="F8" s="39">
        <v>46109</v>
      </c>
      <c r="G8" s="40" t="s">
        <v>23</v>
      </c>
      <c r="H8" s="41" t="s">
        <v>23</v>
      </c>
      <c r="I8" s="42" t="s">
        <v>23</v>
      </c>
      <c r="J8" s="40" t="s">
        <v>23</v>
      </c>
      <c r="K8" s="43" t="s">
        <v>23</v>
      </c>
      <c r="L8" s="42" t="s">
        <v>23</v>
      </c>
      <c r="M8" s="42" t="s">
        <v>23</v>
      </c>
      <c r="N8" s="42" t="s">
        <v>23</v>
      </c>
      <c r="O8" s="42" t="s">
        <v>24</v>
      </c>
      <c r="P8" s="42" t="s">
        <v>23</v>
      </c>
      <c r="Q8" s="40" t="s">
        <v>24</v>
      </c>
      <c r="R8" s="40" t="s">
        <v>24</v>
      </c>
      <c r="S8" s="41" t="s">
        <v>24</v>
      </c>
      <c r="T8" s="49"/>
      <c r="U8" s="42" t="s">
        <v>23</v>
      </c>
      <c r="V8" s="40" t="s">
        <v>23</v>
      </c>
      <c r="W8" s="41"/>
      <c r="X8" s="46"/>
    </row>
    <row r="9" spans="1:24" ht="21.95" customHeight="1">
      <c r="A9" s="34">
        <v>6</v>
      </c>
      <c r="B9" s="35" t="s">
        <v>29</v>
      </c>
      <c r="C9" s="47">
        <v>1</v>
      </c>
      <c r="D9" s="50">
        <v>0.8357</v>
      </c>
      <c r="E9" s="51">
        <f>+'[1]STATUS 06.04.2026'!N8</f>
        <v>46119</v>
      </c>
      <c r="F9" s="52"/>
      <c r="G9" s="40" t="s">
        <v>24</v>
      </c>
      <c r="H9" s="41" t="s">
        <v>24</v>
      </c>
      <c r="I9" s="41" t="s">
        <v>24</v>
      </c>
      <c r="J9" s="41" t="s">
        <v>24</v>
      </c>
      <c r="K9" s="41" t="s">
        <v>24</v>
      </c>
      <c r="L9" s="42" t="s">
        <v>23</v>
      </c>
      <c r="M9" s="40" t="s">
        <v>23</v>
      </c>
      <c r="N9" s="41" t="s">
        <v>24</v>
      </c>
      <c r="O9" s="41" t="s">
        <v>24</v>
      </c>
      <c r="P9" s="42" t="s">
        <v>24</v>
      </c>
      <c r="Q9" s="42" t="s">
        <v>24</v>
      </c>
      <c r="R9" s="42" t="s">
        <v>24</v>
      </c>
      <c r="S9" s="42" t="s">
        <v>24</v>
      </c>
      <c r="T9" s="49"/>
      <c r="U9" s="42" t="s">
        <v>24</v>
      </c>
      <c r="V9" s="40" t="s">
        <v>24</v>
      </c>
      <c r="W9" s="41"/>
      <c r="X9" s="46"/>
    </row>
    <row r="10" spans="1:24" ht="21.95" customHeight="1">
      <c r="A10" s="34">
        <v>7</v>
      </c>
      <c r="B10" s="35" t="s">
        <v>30</v>
      </c>
      <c r="C10" s="47">
        <v>1</v>
      </c>
      <c r="D10" s="37">
        <v>1</v>
      </c>
      <c r="E10" s="53">
        <v>46106</v>
      </c>
      <c r="F10" s="52"/>
      <c r="G10" s="40" t="s">
        <v>24</v>
      </c>
      <c r="H10" s="40" t="s">
        <v>24</v>
      </c>
      <c r="I10" s="40" t="s">
        <v>24</v>
      </c>
      <c r="J10" s="40" t="s">
        <v>24</v>
      </c>
      <c r="K10" s="40" t="s">
        <v>24</v>
      </c>
      <c r="L10" s="40" t="s">
        <v>23</v>
      </c>
      <c r="M10" s="40" t="s">
        <v>23</v>
      </c>
      <c r="N10" s="40" t="s">
        <v>24</v>
      </c>
      <c r="O10" s="40" t="s">
        <v>24</v>
      </c>
      <c r="P10" s="40" t="s">
        <v>24</v>
      </c>
      <c r="Q10" s="40" t="s">
        <v>24</v>
      </c>
      <c r="R10" s="40" t="s">
        <v>24</v>
      </c>
      <c r="S10" s="40" t="s">
        <v>24</v>
      </c>
      <c r="T10" s="49"/>
      <c r="U10" s="42" t="s">
        <v>24</v>
      </c>
      <c r="V10" s="40" t="s">
        <v>24</v>
      </c>
      <c r="W10" s="41"/>
      <c r="X10" s="46"/>
    </row>
    <row r="11" spans="1:24" ht="21.95" customHeight="1">
      <c r="A11" s="34">
        <v>8</v>
      </c>
      <c r="B11" s="35" t="s">
        <v>31</v>
      </c>
      <c r="C11" s="47">
        <v>1</v>
      </c>
      <c r="D11" s="50">
        <f>+'[1]STATUS 06.04.2026'!P10</f>
        <v>0.99</v>
      </c>
      <c r="E11" s="54"/>
      <c r="F11" s="52"/>
      <c r="G11" s="40" t="s">
        <v>24</v>
      </c>
      <c r="H11" s="41" t="s">
        <v>24</v>
      </c>
      <c r="I11" s="41" t="s">
        <v>24</v>
      </c>
      <c r="J11" s="41" t="s">
        <v>24</v>
      </c>
      <c r="K11" s="41" t="s">
        <v>24</v>
      </c>
      <c r="L11" s="41" t="s">
        <v>23</v>
      </c>
      <c r="M11" s="40" t="s">
        <v>23</v>
      </c>
      <c r="N11" s="41" t="s">
        <v>24</v>
      </c>
      <c r="O11" s="41" t="s">
        <v>24</v>
      </c>
      <c r="P11" s="41" t="s">
        <v>24</v>
      </c>
      <c r="Q11" s="41" t="s">
        <v>24</v>
      </c>
      <c r="R11" s="41" t="s">
        <v>24</v>
      </c>
      <c r="S11" s="41" t="s">
        <v>24</v>
      </c>
      <c r="T11" s="49"/>
      <c r="U11" s="42" t="s">
        <v>24</v>
      </c>
      <c r="V11" s="42" t="s">
        <v>24</v>
      </c>
      <c r="W11" s="41"/>
      <c r="X11" s="46"/>
    </row>
    <row r="12" spans="1:24" ht="21.95" customHeight="1">
      <c r="A12" s="34">
        <v>9</v>
      </c>
      <c r="B12" s="35" t="s">
        <v>32</v>
      </c>
      <c r="C12" s="47">
        <v>1</v>
      </c>
      <c r="D12" s="37">
        <v>1</v>
      </c>
      <c r="E12" s="55">
        <v>46110</v>
      </c>
      <c r="F12" s="39">
        <v>46105</v>
      </c>
      <c r="G12" s="40" t="s">
        <v>23</v>
      </c>
      <c r="H12" s="41" t="s">
        <v>23</v>
      </c>
      <c r="I12" s="41" t="s">
        <v>33</v>
      </c>
      <c r="J12" s="41" t="s">
        <v>33</v>
      </c>
      <c r="K12" s="41" t="s">
        <v>33</v>
      </c>
      <c r="L12" s="41" t="s">
        <v>23</v>
      </c>
      <c r="M12" s="41" t="s">
        <v>23</v>
      </c>
      <c r="N12" s="41" t="s">
        <v>23</v>
      </c>
      <c r="O12" s="41" t="s">
        <v>24</v>
      </c>
      <c r="P12" s="41" t="s">
        <v>24</v>
      </c>
      <c r="Q12" s="41" t="s">
        <v>24</v>
      </c>
      <c r="R12" s="41" t="s">
        <v>24</v>
      </c>
      <c r="S12" s="41" t="s">
        <v>24</v>
      </c>
      <c r="T12" s="49"/>
      <c r="U12" s="42" t="s">
        <v>24</v>
      </c>
      <c r="V12" s="42" t="s">
        <v>24</v>
      </c>
      <c r="W12" s="41"/>
      <c r="X12" s="46"/>
    </row>
    <row r="13" spans="1:24" ht="21.95" customHeight="1">
      <c r="A13" s="34">
        <v>10</v>
      </c>
      <c r="B13" s="35" t="s">
        <v>34</v>
      </c>
      <c r="C13" s="47">
        <v>1</v>
      </c>
      <c r="D13" s="37">
        <v>1</v>
      </c>
      <c r="E13" s="38"/>
      <c r="F13" s="39">
        <v>46110</v>
      </c>
      <c r="G13" s="40" t="s">
        <v>23</v>
      </c>
      <c r="H13" s="41" t="s">
        <v>23</v>
      </c>
      <c r="I13" s="41" t="s">
        <v>33</v>
      </c>
      <c r="J13" s="41" t="s">
        <v>33</v>
      </c>
      <c r="K13" s="41" t="s">
        <v>33</v>
      </c>
      <c r="L13" s="41" t="s">
        <v>23</v>
      </c>
      <c r="M13" s="41" t="s">
        <v>23</v>
      </c>
      <c r="N13" s="41" t="s">
        <v>23</v>
      </c>
      <c r="O13" s="41" t="s">
        <v>24</v>
      </c>
      <c r="P13" s="41" t="s">
        <v>24</v>
      </c>
      <c r="Q13" s="41" t="s">
        <v>24</v>
      </c>
      <c r="R13" s="41" t="s">
        <v>24</v>
      </c>
      <c r="S13" s="41" t="s">
        <v>24</v>
      </c>
      <c r="T13" s="49"/>
      <c r="U13" s="42" t="s">
        <v>24</v>
      </c>
      <c r="V13" s="42" t="s">
        <v>24</v>
      </c>
      <c r="W13" s="41"/>
      <c r="X13" s="46"/>
    </row>
    <row r="14" spans="1:24" ht="21.95" customHeight="1">
      <c r="A14" s="34">
        <v>11</v>
      </c>
      <c r="B14" s="56" t="s">
        <v>35</v>
      </c>
      <c r="C14" s="57">
        <v>1</v>
      </c>
      <c r="D14" s="37">
        <v>1</v>
      </c>
      <c r="E14" s="55">
        <v>46117</v>
      </c>
      <c r="F14" s="39">
        <v>45752</v>
      </c>
      <c r="G14" s="40" t="s">
        <v>23</v>
      </c>
      <c r="H14" s="40" t="s">
        <v>23</v>
      </c>
      <c r="I14" s="41" t="s">
        <v>24</v>
      </c>
      <c r="J14" s="41" t="s">
        <v>24</v>
      </c>
      <c r="K14" s="41" t="s">
        <v>24</v>
      </c>
      <c r="L14" s="41" t="s">
        <v>24</v>
      </c>
      <c r="M14" s="41" t="s">
        <v>24</v>
      </c>
      <c r="N14" s="41" t="s">
        <v>24</v>
      </c>
      <c r="O14" s="41" t="s">
        <v>24</v>
      </c>
      <c r="P14" s="41" t="s">
        <v>24</v>
      </c>
      <c r="Q14" s="41" t="s">
        <v>24</v>
      </c>
      <c r="R14" s="41" t="s">
        <v>24</v>
      </c>
      <c r="S14" s="41" t="s">
        <v>24</v>
      </c>
      <c r="T14" s="49"/>
      <c r="U14" s="42" t="s">
        <v>24</v>
      </c>
      <c r="V14" s="42" t="s">
        <v>24</v>
      </c>
      <c r="W14" s="58"/>
      <c r="X14" s="46"/>
    </row>
    <row r="15" spans="1:24" ht="21.95" customHeight="1">
      <c r="A15" s="34">
        <v>12</v>
      </c>
      <c r="B15" s="56" t="s">
        <v>36</v>
      </c>
      <c r="C15" s="57">
        <v>1</v>
      </c>
      <c r="D15" s="37">
        <v>1</v>
      </c>
      <c r="E15" s="38"/>
      <c r="F15" s="39">
        <v>45752</v>
      </c>
      <c r="G15" s="40" t="s">
        <v>23</v>
      </c>
      <c r="H15" s="40" t="s">
        <v>23</v>
      </c>
      <c r="I15" s="41" t="s">
        <v>24</v>
      </c>
      <c r="J15" s="41" t="s">
        <v>24</v>
      </c>
      <c r="K15" s="41" t="s">
        <v>24</v>
      </c>
      <c r="L15" s="41" t="s">
        <v>24</v>
      </c>
      <c r="M15" s="41" t="s">
        <v>24</v>
      </c>
      <c r="N15" s="41" t="s">
        <v>24</v>
      </c>
      <c r="O15" s="41" t="s">
        <v>24</v>
      </c>
      <c r="P15" s="41" t="s">
        <v>24</v>
      </c>
      <c r="Q15" s="41" t="s">
        <v>24</v>
      </c>
      <c r="R15" s="41" t="s">
        <v>24</v>
      </c>
      <c r="S15" s="41" t="s">
        <v>24</v>
      </c>
      <c r="T15" s="49"/>
      <c r="U15" s="42" t="s">
        <v>24</v>
      </c>
      <c r="V15" s="42" t="s">
        <v>24</v>
      </c>
      <c r="W15" s="58"/>
      <c r="X15" s="46"/>
    </row>
    <row r="16" spans="1:24" ht="21.95" customHeight="1">
      <c r="A16" s="34">
        <v>13</v>
      </c>
      <c r="B16" s="35" t="s">
        <v>37</v>
      </c>
      <c r="C16" s="47">
        <v>1</v>
      </c>
      <c r="D16" s="37">
        <v>1</v>
      </c>
      <c r="E16" s="55">
        <v>46115</v>
      </c>
      <c r="F16" s="39">
        <v>46115</v>
      </c>
      <c r="G16" s="40" t="s">
        <v>23</v>
      </c>
      <c r="H16" s="41" t="s">
        <v>23</v>
      </c>
      <c r="I16" s="41" t="s">
        <v>24</v>
      </c>
      <c r="J16" s="41" t="s">
        <v>24</v>
      </c>
      <c r="K16" s="41" t="s">
        <v>24</v>
      </c>
      <c r="L16" s="41" t="s">
        <v>33</v>
      </c>
      <c r="M16" s="41" t="s">
        <v>33</v>
      </c>
      <c r="N16" s="41" t="s">
        <v>33</v>
      </c>
      <c r="O16" s="41" t="s">
        <v>33</v>
      </c>
      <c r="P16" s="41" t="s">
        <v>23</v>
      </c>
      <c r="Q16" s="41" t="s">
        <v>24</v>
      </c>
      <c r="R16" s="41" t="s">
        <v>24</v>
      </c>
      <c r="S16" s="41" t="s">
        <v>24</v>
      </c>
      <c r="T16" s="49"/>
      <c r="U16" s="42" t="s">
        <v>24</v>
      </c>
      <c r="V16" s="42" t="s">
        <v>24</v>
      </c>
      <c r="W16" s="41"/>
      <c r="X16" s="46"/>
    </row>
    <row r="17" spans="1:24" ht="21.95" customHeight="1">
      <c r="A17" s="34">
        <v>14</v>
      </c>
      <c r="B17" s="35" t="s">
        <v>38</v>
      </c>
      <c r="C17" s="47">
        <v>1</v>
      </c>
      <c r="D17" s="37">
        <v>1</v>
      </c>
      <c r="E17" s="38"/>
      <c r="F17" s="52" t="s">
        <v>39</v>
      </c>
      <c r="G17" s="40" t="s">
        <v>23</v>
      </c>
      <c r="H17" s="40" t="s">
        <v>23</v>
      </c>
      <c r="I17" s="40" t="s">
        <v>24</v>
      </c>
      <c r="J17" s="40" t="s">
        <v>24</v>
      </c>
      <c r="K17" s="40" t="s">
        <v>24</v>
      </c>
      <c r="L17" s="41" t="s">
        <v>33</v>
      </c>
      <c r="M17" s="41" t="s">
        <v>33</v>
      </c>
      <c r="N17" s="41" t="s">
        <v>33</v>
      </c>
      <c r="O17" s="41" t="s">
        <v>33</v>
      </c>
      <c r="P17" s="40" t="s">
        <v>23</v>
      </c>
      <c r="Q17" s="40" t="s">
        <v>24</v>
      </c>
      <c r="R17" s="40" t="s">
        <v>24</v>
      </c>
      <c r="S17" s="40" t="s">
        <v>24</v>
      </c>
      <c r="T17" s="49"/>
      <c r="U17" s="42" t="s">
        <v>24</v>
      </c>
      <c r="V17" s="42" t="s">
        <v>24</v>
      </c>
      <c r="W17" s="41"/>
      <c r="X17" s="46"/>
    </row>
    <row r="18" spans="1:24" ht="21.95" customHeight="1">
      <c r="A18" s="34">
        <v>15</v>
      </c>
      <c r="B18" s="35" t="s">
        <v>40</v>
      </c>
      <c r="C18" s="47">
        <v>1</v>
      </c>
      <c r="D18" s="50">
        <f>+'[1]STATUS 06.04.2026'!P17</f>
        <v>0.99</v>
      </c>
      <c r="E18" s="48">
        <f>+'[1]STATUS 06.04.2026'!N17</f>
        <v>46124</v>
      </c>
      <c r="F18" s="52"/>
      <c r="G18" s="40" t="s">
        <v>24</v>
      </c>
      <c r="H18" s="40" t="s">
        <v>24</v>
      </c>
      <c r="I18" s="40" t="s">
        <v>24</v>
      </c>
      <c r="J18" s="40" t="s">
        <v>24</v>
      </c>
      <c r="K18" s="40" t="s">
        <v>24</v>
      </c>
      <c r="L18" s="40" t="s">
        <v>23</v>
      </c>
      <c r="M18" s="40" t="s">
        <v>23</v>
      </c>
      <c r="N18" s="40" t="s">
        <v>24</v>
      </c>
      <c r="O18" s="40" t="s">
        <v>24</v>
      </c>
      <c r="P18" s="40" t="s">
        <v>24</v>
      </c>
      <c r="Q18" s="40" t="s">
        <v>24</v>
      </c>
      <c r="R18" s="40" t="s">
        <v>24</v>
      </c>
      <c r="S18" s="40" t="s">
        <v>24</v>
      </c>
      <c r="T18" s="49"/>
      <c r="U18" s="42" t="s">
        <v>24</v>
      </c>
      <c r="V18" s="42" t="s">
        <v>24</v>
      </c>
      <c r="W18" s="41"/>
      <c r="X18" s="46"/>
    </row>
    <row r="19" spans="1:24" ht="21.95" customHeight="1">
      <c r="A19" s="34">
        <v>16</v>
      </c>
      <c r="B19" s="35" t="s">
        <v>41</v>
      </c>
      <c r="C19" s="47">
        <v>1</v>
      </c>
      <c r="D19" s="37">
        <v>1</v>
      </c>
      <c r="E19" s="55">
        <v>46110</v>
      </c>
      <c r="F19" s="52"/>
      <c r="G19" s="40" t="s">
        <v>23</v>
      </c>
      <c r="H19" s="40" t="s">
        <v>23</v>
      </c>
      <c r="I19" s="40" t="s">
        <v>24</v>
      </c>
      <c r="J19" s="40" t="s">
        <v>24</v>
      </c>
      <c r="K19" s="40" t="s">
        <v>24</v>
      </c>
      <c r="L19" s="40" t="s">
        <v>24</v>
      </c>
      <c r="M19" s="40" t="s">
        <v>24</v>
      </c>
      <c r="N19" s="40" t="s">
        <v>24</v>
      </c>
      <c r="O19" s="40" t="s">
        <v>24</v>
      </c>
      <c r="P19" s="40" t="s">
        <v>24</v>
      </c>
      <c r="Q19" s="40" t="s">
        <v>24</v>
      </c>
      <c r="R19" s="40" t="s">
        <v>24</v>
      </c>
      <c r="S19" s="40" t="s">
        <v>24</v>
      </c>
      <c r="T19" s="49"/>
      <c r="U19" s="42" t="s">
        <v>24</v>
      </c>
      <c r="V19" s="42" t="s">
        <v>24</v>
      </c>
      <c r="W19" s="41"/>
      <c r="X19" s="46"/>
    </row>
    <row r="20" spans="1:24" ht="21.95" customHeight="1">
      <c r="A20" s="34">
        <v>17</v>
      </c>
      <c r="B20" s="35" t="s">
        <v>42</v>
      </c>
      <c r="C20" s="47">
        <v>1</v>
      </c>
      <c r="D20" s="37">
        <v>1</v>
      </c>
      <c r="E20" s="38"/>
      <c r="F20" s="52"/>
      <c r="G20" s="40" t="s">
        <v>23</v>
      </c>
      <c r="H20" s="40" t="s">
        <v>23</v>
      </c>
      <c r="I20" s="40" t="s">
        <v>24</v>
      </c>
      <c r="J20" s="40" t="s">
        <v>24</v>
      </c>
      <c r="K20" s="40" t="s">
        <v>24</v>
      </c>
      <c r="L20" s="40" t="s">
        <v>24</v>
      </c>
      <c r="M20" s="40" t="s">
        <v>24</v>
      </c>
      <c r="N20" s="40" t="s">
        <v>24</v>
      </c>
      <c r="O20" s="40" t="s">
        <v>24</v>
      </c>
      <c r="P20" s="40" t="s">
        <v>24</v>
      </c>
      <c r="Q20" s="40" t="s">
        <v>24</v>
      </c>
      <c r="R20" s="40" t="s">
        <v>24</v>
      </c>
      <c r="S20" s="40" t="s">
        <v>24</v>
      </c>
      <c r="T20" s="49"/>
      <c r="U20" s="42" t="s">
        <v>24</v>
      </c>
      <c r="V20" s="42" t="s">
        <v>24</v>
      </c>
      <c r="W20" s="41"/>
      <c r="X20" s="46"/>
    </row>
    <row r="21" spans="1:24" ht="21.95" customHeight="1">
      <c r="A21" s="34">
        <v>18</v>
      </c>
      <c r="B21" s="35" t="s">
        <v>43</v>
      </c>
      <c r="C21" s="47">
        <v>1</v>
      </c>
      <c r="D21" s="50">
        <v>0.98</v>
      </c>
      <c r="E21" s="48">
        <f>+'[1]STATUS 06.04.2026'!N20</f>
        <v>46127</v>
      </c>
      <c r="F21" s="52"/>
      <c r="G21" s="40" t="s">
        <v>24</v>
      </c>
      <c r="H21" s="40" t="s">
        <v>24</v>
      </c>
      <c r="I21" s="40" t="s">
        <v>24</v>
      </c>
      <c r="J21" s="40" t="s">
        <v>24</v>
      </c>
      <c r="K21" s="40" t="s">
        <v>24</v>
      </c>
      <c r="L21" s="40" t="s">
        <v>24</v>
      </c>
      <c r="M21" s="40" t="s">
        <v>24</v>
      </c>
      <c r="N21" s="40" t="s">
        <v>24</v>
      </c>
      <c r="O21" s="40" t="s">
        <v>24</v>
      </c>
      <c r="P21" s="40" t="s">
        <v>24</v>
      </c>
      <c r="Q21" s="40" t="s">
        <v>24</v>
      </c>
      <c r="R21" s="40" t="s">
        <v>24</v>
      </c>
      <c r="S21" s="40" t="s">
        <v>24</v>
      </c>
      <c r="T21" s="49"/>
      <c r="U21" s="42" t="s">
        <v>24</v>
      </c>
      <c r="V21" s="42" t="s">
        <v>24</v>
      </c>
      <c r="W21" s="41"/>
      <c r="X21" s="46"/>
    </row>
    <row r="22" spans="1:24" ht="21.95" customHeight="1">
      <c r="A22" s="34">
        <v>19</v>
      </c>
      <c r="B22" s="35" t="s">
        <v>44</v>
      </c>
      <c r="C22" s="47">
        <v>1</v>
      </c>
      <c r="D22" s="37">
        <v>1</v>
      </c>
      <c r="E22" s="48">
        <f>+'[1]STATUS 06.04.2026'!N21</f>
        <v>46112</v>
      </c>
      <c r="F22" s="52"/>
      <c r="G22" s="40" t="s">
        <v>24</v>
      </c>
      <c r="H22" s="40" t="s">
        <v>24</v>
      </c>
      <c r="I22" s="40" t="s">
        <v>24</v>
      </c>
      <c r="J22" s="40" t="s">
        <v>24</v>
      </c>
      <c r="K22" s="40" t="s">
        <v>24</v>
      </c>
      <c r="L22" s="40" t="s">
        <v>24</v>
      </c>
      <c r="M22" s="40" t="s">
        <v>24</v>
      </c>
      <c r="N22" s="40" t="s">
        <v>24</v>
      </c>
      <c r="O22" s="40" t="s">
        <v>24</v>
      </c>
      <c r="P22" s="40" t="s">
        <v>24</v>
      </c>
      <c r="Q22" s="40" t="s">
        <v>24</v>
      </c>
      <c r="R22" s="40" t="s">
        <v>24</v>
      </c>
      <c r="S22" s="40" t="s">
        <v>24</v>
      </c>
      <c r="T22" s="49"/>
      <c r="U22" s="42" t="s">
        <v>24</v>
      </c>
      <c r="V22" s="42" t="s">
        <v>24</v>
      </c>
      <c r="W22" s="41"/>
      <c r="X22" s="46"/>
    </row>
    <row r="23" spans="1:24" ht="21.95" customHeight="1" thickBot="1">
      <c r="A23" s="59">
        <v>20</v>
      </c>
      <c r="B23" s="60" t="s">
        <v>45</v>
      </c>
      <c r="C23" s="61">
        <v>1</v>
      </c>
      <c r="D23" s="62">
        <f>+'[1]STATUS 06.04.2026'!P22</f>
        <v>0.98</v>
      </c>
      <c r="E23" s="63">
        <f>+'[1]STATUS 06.04.2026'!N22</f>
        <v>46117</v>
      </c>
      <c r="F23" s="64"/>
      <c r="G23" s="40" t="s">
        <v>24</v>
      </c>
      <c r="H23" s="40" t="s">
        <v>24</v>
      </c>
      <c r="I23" s="40" t="s">
        <v>24</v>
      </c>
      <c r="J23" s="40" t="s">
        <v>24</v>
      </c>
      <c r="K23" s="40" t="s">
        <v>24</v>
      </c>
      <c r="L23" s="40" t="s">
        <v>24</v>
      </c>
      <c r="M23" s="40" t="s">
        <v>24</v>
      </c>
      <c r="N23" s="40" t="s">
        <v>24</v>
      </c>
      <c r="O23" s="40" t="s">
        <v>24</v>
      </c>
      <c r="P23" s="42" t="s">
        <v>23</v>
      </c>
      <c r="Q23" s="40" t="s">
        <v>24</v>
      </c>
      <c r="R23" s="40" t="s">
        <v>24</v>
      </c>
      <c r="S23" s="40" t="s">
        <v>24</v>
      </c>
      <c r="T23" s="65"/>
      <c r="U23" s="42" t="s">
        <v>24</v>
      </c>
      <c r="V23" s="42" t="s">
        <v>24</v>
      </c>
      <c r="W23" s="66"/>
      <c r="X23" s="67"/>
    </row>
    <row r="24" spans="1:24" ht="15" customHeight="1">
      <c r="C24" s="68">
        <f>AVERAGE(C4:C23)</f>
        <v>1</v>
      </c>
      <c r="D24" s="68">
        <f>AVERAGE(D4:D23)</f>
        <v>0.98878500000000003</v>
      </c>
      <c r="E24" s="68"/>
      <c r="F24" s="69" t="s">
        <v>46</v>
      </c>
      <c r="G24" s="69"/>
      <c r="H24" s="70">
        <f ca="1">TODAY()</f>
        <v>46128</v>
      </c>
      <c r="K24" s="71"/>
      <c r="L24" s="71"/>
      <c r="M24" s="72"/>
      <c r="N24" s="72"/>
      <c r="O24" s="72"/>
      <c r="P24" s="72"/>
      <c r="Q24" s="72"/>
      <c r="R24" s="72"/>
      <c r="S24" s="72"/>
      <c r="T24" s="73"/>
      <c r="W24" s="71"/>
    </row>
  </sheetData>
  <mergeCells count="20">
    <mergeCell ref="E14:E15"/>
    <mergeCell ref="E16:E17"/>
    <mergeCell ref="E19:E20"/>
    <mergeCell ref="F24:G24"/>
    <mergeCell ref="X2:X3"/>
    <mergeCell ref="E4:E5"/>
    <mergeCell ref="R4:R5"/>
    <mergeCell ref="T4:T5"/>
    <mergeCell ref="E10:E11"/>
    <mergeCell ref="E12:E13"/>
    <mergeCell ref="A1:U1"/>
    <mergeCell ref="A2:A3"/>
    <mergeCell ref="B2:B3"/>
    <mergeCell ref="C2:D2"/>
    <mergeCell ref="E2:E3"/>
    <mergeCell ref="F2:H2"/>
    <mergeCell ref="I2:K2"/>
    <mergeCell ref="L2:O2"/>
    <mergeCell ref="P2:T2"/>
    <mergeCell ref="U2:W2"/>
  </mergeCells>
  <conditionalFormatting sqref="G4:W23">
    <cfRule type="containsText" dxfId="0" priority="1" operator="containsText" text="NO">
      <formula>NOT(ISERROR(SEARCH("NO",G4)))</formula>
    </cfRule>
    <cfRule type="containsText" dxfId="1" priority="2" operator="containsText" text="SI">
      <formula>NOT(ISERROR(SEARCH("SI",G4)))</formula>
    </cfRule>
  </conditionalFormatting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 + Ampliaciones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2026-04-16T21:07:23Z</dcterms:created>
  <dcterms:modified xsi:type="dcterms:W3CDTF">2026-04-16T21:08:44Z</dcterms:modified>
</cp:coreProperties>
</file>